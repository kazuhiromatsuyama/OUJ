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su\github\OUJ\2026A\心理学実験2\実験2_2_自由再生による記憶の系列位置効果\"/>
    </mc:Choice>
  </mc:AlternateContent>
  <xr:revisionPtr revIDLastSave="0" documentId="13_ncr:1_{5BDD3506-12F9-4736-AE6E-221AF2A9F708}" xr6:coauthVersionLast="47" xr6:coauthVersionMax="47" xr10:uidLastSave="{00000000-0000-0000-0000-000000000000}"/>
  <bookViews>
    <workbookView xWindow="1810" yWindow="2040" windowWidth="14400" windowHeight="7360" activeTab="1" xr2:uid="{00000000-000D-0000-FFFF-FFFF00000000}"/>
  </bookViews>
  <sheets>
    <sheet name="計算過程" sheetId="3" r:id="rId1"/>
    <sheet name="表1、2" sheetId="4" r:id="rId2"/>
  </sheets>
  <calcPr calcId="191029"/>
</workbook>
</file>

<file path=xl/calcChain.xml><?xml version="1.0" encoding="utf-8"?>
<calcChain xmlns="http://schemas.openxmlformats.org/spreadsheetml/2006/main">
  <c r="J61" i="3" l="1"/>
  <c r="J63" i="3"/>
  <c r="C61" i="3"/>
  <c r="D61" i="3"/>
  <c r="E61" i="3"/>
  <c r="F61" i="3"/>
  <c r="G61" i="3"/>
  <c r="H61" i="3"/>
  <c r="I61" i="3"/>
  <c r="K61" i="3"/>
  <c r="L61" i="3"/>
  <c r="M61" i="3"/>
  <c r="N61" i="3"/>
  <c r="O61" i="3"/>
  <c r="P61" i="3"/>
  <c r="C62" i="3"/>
  <c r="D62" i="3"/>
  <c r="E62" i="3"/>
  <c r="G62" i="3"/>
  <c r="H62" i="3"/>
  <c r="I62" i="3"/>
  <c r="K62" i="3"/>
  <c r="M62" i="3"/>
  <c r="N62" i="3"/>
  <c r="O62" i="3"/>
  <c r="P62" i="3"/>
  <c r="C63" i="3"/>
  <c r="D63" i="3"/>
  <c r="E63" i="3"/>
  <c r="F63" i="3"/>
  <c r="G63" i="3"/>
  <c r="H63" i="3"/>
  <c r="I63" i="3"/>
  <c r="K63" i="3"/>
  <c r="L63" i="3"/>
  <c r="M63" i="3"/>
  <c r="N63" i="3"/>
  <c r="O63" i="3"/>
  <c r="P63" i="3"/>
  <c r="B63" i="3"/>
  <c r="B62" i="3"/>
  <c r="B61" i="3"/>
  <c r="G48" i="3"/>
  <c r="G47" i="3"/>
  <c r="F46" i="3"/>
  <c r="C46" i="3"/>
  <c r="D46" i="3"/>
  <c r="E46" i="3"/>
  <c r="G46" i="3"/>
  <c r="H46" i="3"/>
  <c r="I46" i="3"/>
  <c r="J46" i="3"/>
  <c r="K46" i="3"/>
  <c r="L46" i="3"/>
  <c r="M46" i="3"/>
  <c r="N46" i="3"/>
  <c r="O46" i="3"/>
  <c r="P46" i="3"/>
  <c r="C47" i="3"/>
  <c r="D47" i="3"/>
  <c r="E47" i="3"/>
  <c r="F47" i="3"/>
  <c r="H47" i="3"/>
  <c r="I47" i="3"/>
  <c r="J47" i="3"/>
  <c r="K47" i="3"/>
  <c r="L47" i="3"/>
  <c r="M47" i="3"/>
  <c r="N47" i="3"/>
  <c r="O47" i="3"/>
  <c r="P47" i="3"/>
  <c r="C48" i="3"/>
  <c r="D48" i="3"/>
  <c r="E48" i="3"/>
  <c r="F48" i="3"/>
  <c r="H48" i="3"/>
  <c r="I48" i="3"/>
  <c r="J48" i="3"/>
  <c r="K48" i="3"/>
  <c r="L48" i="3"/>
  <c r="M48" i="3"/>
  <c r="N48" i="3"/>
  <c r="O48" i="3"/>
  <c r="P48" i="3"/>
  <c r="B48" i="3"/>
  <c r="B47" i="3"/>
  <c r="B46" i="3"/>
  <c r="I30" i="3"/>
  <c r="G29" i="3"/>
  <c r="H29" i="3"/>
  <c r="C29" i="3"/>
  <c r="D29" i="3"/>
  <c r="E29" i="3"/>
  <c r="F29" i="3"/>
  <c r="I29" i="3"/>
  <c r="J29" i="3"/>
  <c r="K29" i="3"/>
  <c r="L29" i="3"/>
  <c r="M29" i="3"/>
  <c r="N29" i="3"/>
  <c r="O29" i="3"/>
  <c r="P29" i="3"/>
  <c r="C30" i="3"/>
  <c r="D30" i="3"/>
  <c r="E30" i="3"/>
  <c r="F30" i="3"/>
  <c r="G30" i="3"/>
  <c r="H30" i="3"/>
  <c r="J30" i="3"/>
  <c r="K30" i="3"/>
  <c r="L30" i="3"/>
  <c r="M30" i="3"/>
  <c r="N30" i="3"/>
  <c r="O30" i="3"/>
  <c r="P30" i="3"/>
  <c r="B30" i="3"/>
  <c r="B29" i="3"/>
  <c r="H15" i="3"/>
  <c r="F16" i="3"/>
  <c r="E15" i="3"/>
  <c r="C16" i="3"/>
  <c r="C15" i="3"/>
  <c r="D15" i="3"/>
  <c r="F15" i="3"/>
  <c r="G15" i="3"/>
  <c r="I15" i="3"/>
  <c r="J15" i="3"/>
  <c r="K15" i="3"/>
  <c r="L15" i="3"/>
  <c r="M15" i="3"/>
  <c r="N15" i="3"/>
  <c r="O15" i="3"/>
  <c r="P15" i="3"/>
  <c r="D16" i="3"/>
  <c r="E16" i="3"/>
  <c r="G16" i="3"/>
  <c r="H16" i="3"/>
  <c r="I16" i="3"/>
  <c r="J16" i="3"/>
  <c r="K16" i="3"/>
  <c r="L16" i="3"/>
  <c r="M16" i="3"/>
  <c r="N16" i="3"/>
  <c r="O16" i="3"/>
  <c r="P16" i="3"/>
  <c r="B16" i="3"/>
  <c r="B15" i="3"/>
  <c r="J62" i="3" l="1"/>
  <c r="L62" i="3"/>
  <c r="F62" i="3"/>
</calcChain>
</file>

<file path=xl/sharedStrings.xml><?xml version="1.0" encoding="utf-8"?>
<sst xmlns="http://schemas.openxmlformats.org/spreadsheetml/2006/main" count="36" uniqueCount="20">
  <si>
    <t>直後再生条件</t>
    <rPh sb="0" eb="2">
      <t>チョクゴ</t>
    </rPh>
    <rPh sb="2" eb="4">
      <t>サイセイ</t>
    </rPh>
    <rPh sb="4" eb="6">
      <t>ジョウケン</t>
    </rPh>
    <phoneticPr fontId="1"/>
  </si>
  <si>
    <t>遅延再生条件</t>
    <rPh sb="0" eb="2">
      <t>チエン</t>
    </rPh>
    <rPh sb="2" eb="4">
      <t>サイセイ</t>
    </rPh>
    <rPh sb="4" eb="6">
      <t>ジョウケン</t>
    </rPh>
    <phoneticPr fontId="1"/>
  </si>
  <si>
    <t>平均値</t>
    <rPh sb="0" eb="3">
      <t>ヘイキンチ</t>
    </rPh>
    <phoneticPr fontId="1"/>
  </si>
  <si>
    <t>標準偏差</t>
    <rPh sb="0" eb="2">
      <t>ヒョウジュン</t>
    </rPh>
    <rPh sb="2" eb="4">
      <t>ヘンサ</t>
    </rPh>
    <phoneticPr fontId="1"/>
  </si>
  <si>
    <t>平均正再生数</t>
    <rPh sb="0" eb="2">
      <t>ヘイキン</t>
    </rPh>
    <rPh sb="2" eb="3">
      <t>セイ</t>
    </rPh>
    <rPh sb="3" eb="5">
      <t>サイセイ</t>
    </rPh>
    <rPh sb="5" eb="6">
      <t>スウ</t>
    </rPh>
    <phoneticPr fontId="1"/>
  </si>
  <si>
    <t>正再生率</t>
    <rPh sb="0" eb="1">
      <t>セイ</t>
    </rPh>
    <rPh sb="1" eb="3">
      <t>サイセイ</t>
    </rPh>
    <rPh sb="3" eb="4">
      <t>リツ</t>
    </rPh>
    <phoneticPr fontId="1"/>
  </si>
  <si>
    <t>平均正再生数</t>
    <rPh sb="0" eb="2">
      <t>ヘイキン</t>
    </rPh>
    <rPh sb="2" eb="3">
      <t>セイ</t>
    </rPh>
    <rPh sb="3" eb="5">
      <t>サイセイ</t>
    </rPh>
    <rPh sb="5" eb="6">
      <t>カズ</t>
    </rPh>
    <phoneticPr fontId="1"/>
  </si>
  <si>
    <t>通し番号</t>
    <rPh sb="0" eb="1">
      <t>トオ</t>
    </rPh>
    <rPh sb="2" eb="4">
      <t>バンゴウ</t>
    </rPh>
    <phoneticPr fontId="1"/>
  </si>
  <si>
    <t>＜再生順＞</t>
    <rPh sb="1" eb="3">
      <t>サイセイ</t>
    </rPh>
    <rPh sb="3" eb="4">
      <t>ジュン</t>
    </rPh>
    <phoneticPr fontId="1"/>
  </si>
  <si>
    <t>＜正再生数＞</t>
    <rPh sb="1" eb="2">
      <t>セイ</t>
    </rPh>
    <rPh sb="2" eb="4">
      <t>サイセイ</t>
    </rPh>
    <rPh sb="4" eb="5">
      <t>スウ</t>
    </rPh>
    <phoneticPr fontId="1"/>
  </si>
  <si>
    <t>直後再生条件</t>
    <rPh sb="0" eb="2">
      <t>チョクゴ</t>
    </rPh>
    <rPh sb="2" eb="4">
      <t>サイセイ</t>
    </rPh>
    <rPh sb="4" eb="6">
      <t>ジョウケン</t>
    </rPh>
    <phoneticPr fontId="2"/>
  </si>
  <si>
    <t>遅延再生条件</t>
    <rPh sb="0" eb="2">
      <t>チエン</t>
    </rPh>
    <rPh sb="2" eb="4">
      <t>サイセイ</t>
    </rPh>
    <rPh sb="4" eb="6">
      <t>ジョウケン</t>
    </rPh>
    <phoneticPr fontId="2"/>
  </si>
  <si>
    <t>男性</t>
    <rPh sb="0" eb="2">
      <t>ダンセイ</t>
    </rPh>
    <phoneticPr fontId="1"/>
  </si>
  <si>
    <t>女性</t>
    <rPh sb="0" eb="2">
      <t>ジョセイ</t>
    </rPh>
    <phoneticPr fontId="1"/>
  </si>
  <si>
    <t>遅延再生条件</t>
    <rPh sb="0" eb="2">
      <t>チエン</t>
    </rPh>
    <rPh sb="2" eb="6">
      <t>サイセイジョウケン</t>
    </rPh>
    <phoneticPr fontId="1"/>
  </si>
  <si>
    <t>平均年齢</t>
    <rPh sb="0" eb="2">
      <t>ヘイキン</t>
    </rPh>
    <rPh sb="2" eb="4">
      <t>ネンレイ</t>
    </rPh>
    <phoneticPr fontId="1"/>
  </si>
  <si>
    <t>そのほか</t>
    <phoneticPr fontId="1"/>
  </si>
  <si>
    <t>表1　各条件の系列位置別の正再生率</t>
    <rPh sb="0" eb="1">
      <t>ヒョウ</t>
    </rPh>
    <rPh sb="3" eb="6">
      <t>カクジョウケン</t>
    </rPh>
    <rPh sb="7" eb="9">
      <t>ケイレツ</t>
    </rPh>
    <rPh sb="9" eb="11">
      <t>イチ</t>
    </rPh>
    <rPh sb="11" eb="12">
      <t>ベツ</t>
    </rPh>
    <rPh sb="13" eb="14">
      <t>セイ</t>
    </rPh>
    <rPh sb="14" eb="16">
      <t>サイセイ</t>
    </rPh>
    <rPh sb="16" eb="17">
      <t>リツ</t>
    </rPh>
    <phoneticPr fontId="2"/>
  </si>
  <si>
    <t>表2　各条件の系列位置別の再生順（平均値）</t>
    <rPh sb="0" eb="1">
      <t>ヒョウ</t>
    </rPh>
    <rPh sb="3" eb="6">
      <t>カクジョウケン</t>
    </rPh>
    <rPh sb="7" eb="9">
      <t>ケイレツ</t>
    </rPh>
    <rPh sb="9" eb="11">
      <t>イチ</t>
    </rPh>
    <rPh sb="11" eb="12">
      <t>ベツ</t>
    </rPh>
    <rPh sb="13" eb="15">
      <t>サイセイ</t>
    </rPh>
    <rPh sb="15" eb="16">
      <t>ジュン</t>
    </rPh>
    <rPh sb="17" eb="20">
      <t>ヘイキンチ</t>
    </rPh>
    <phoneticPr fontId="2"/>
  </si>
  <si>
    <t>全体</t>
    <rPh sb="0" eb="2">
      <t>ゼンタイ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</si>
</sst>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rgb="FF7030A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0" fontId="0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'表1、2'!$A$4</c:f>
              <c:strCache>
                <c:ptCount val="1"/>
                <c:pt idx="0">
                  <c:v>直後再生条件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'表1、2'!$B$3:$P$3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'表1、2'!$B$4:$P$4</c:f>
              <c:numCache>
                <c:formatCode>0.00_ </c:formatCode>
                <c:ptCount val="15"/>
                <c:pt idx="0">
                  <c:v>0.65</c:v>
                </c:pt>
                <c:pt idx="1">
                  <c:v>0.45</c:v>
                </c:pt>
                <c:pt idx="2">
                  <c:v>0.35</c:v>
                </c:pt>
                <c:pt idx="3">
                  <c:v>0.27500000000000002</c:v>
                </c:pt>
                <c:pt idx="4">
                  <c:v>0.45</c:v>
                </c:pt>
                <c:pt idx="5">
                  <c:v>0.17499999999999999</c:v>
                </c:pt>
                <c:pt idx="6">
                  <c:v>0.22500000000000001</c:v>
                </c:pt>
                <c:pt idx="7">
                  <c:v>0.17499999999999999</c:v>
                </c:pt>
                <c:pt idx="8">
                  <c:v>0.4</c:v>
                </c:pt>
                <c:pt idx="9">
                  <c:v>0.2</c:v>
                </c:pt>
                <c:pt idx="10">
                  <c:v>0.35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0.375</c:v>
                </c:pt>
                <c:pt idx="1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1-44B1-A4C0-F2CE16CC0A86}"/>
            </c:ext>
          </c:extLst>
        </c:ser>
        <c:ser>
          <c:idx val="1"/>
          <c:order val="1"/>
          <c:tx>
            <c:strRef>
              <c:f>'表1、2'!$A$5</c:f>
              <c:strCache>
                <c:ptCount val="1"/>
                <c:pt idx="0">
                  <c:v>遅延再生条件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'表1、2'!$B$3:$P$3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'表1、2'!$B$5:$P$5</c:f>
              <c:numCache>
                <c:formatCode>0.00</c:formatCode>
                <c:ptCount val="15"/>
                <c:pt idx="0">
                  <c:v>0.55555555555555558</c:v>
                </c:pt>
                <c:pt idx="1">
                  <c:v>0.30555555555555558</c:v>
                </c:pt>
                <c:pt idx="2">
                  <c:v>0.25</c:v>
                </c:pt>
                <c:pt idx="3">
                  <c:v>0.22222222222222221</c:v>
                </c:pt>
                <c:pt idx="4">
                  <c:v>0.19444444444444445</c:v>
                </c:pt>
                <c:pt idx="5">
                  <c:v>0.3888888888888889</c:v>
                </c:pt>
                <c:pt idx="6">
                  <c:v>0.1388888888888889</c:v>
                </c:pt>
                <c:pt idx="7">
                  <c:v>0.22222222222222221</c:v>
                </c:pt>
                <c:pt idx="8">
                  <c:v>0.3888888888888889</c:v>
                </c:pt>
                <c:pt idx="9">
                  <c:v>0.3888888888888889</c:v>
                </c:pt>
                <c:pt idx="10">
                  <c:v>0.3888888888888889</c:v>
                </c:pt>
                <c:pt idx="11">
                  <c:v>0.30555555555555558</c:v>
                </c:pt>
                <c:pt idx="12">
                  <c:v>0.27777777777777779</c:v>
                </c:pt>
                <c:pt idx="13">
                  <c:v>0.44444444444444442</c:v>
                </c:pt>
                <c:pt idx="14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1-44B1-A4C0-F2CE16CC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971664"/>
        <c:axId val="1708972144"/>
      </c:lineChart>
      <c:catAx>
        <c:axId val="170897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系列位置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8972144"/>
        <c:crosses val="autoZero"/>
        <c:auto val="1"/>
        <c:lblAlgn val="ctr"/>
        <c:lblOffset val="100"/>
        <c:noMultiLvlLbl val="0"/>
      </c:catAx>
      <c:valAx>
        <c:axId val="17089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正再生率軸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89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'表1、2'!$A$9</c:f>
              <c:strCache>
                <c:ptCount val="1"/>
                <c:pt idx="0">
                  <c:v>直後再生条件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'表1、2'!$B$8:$P$8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'表1、2'!$B$9:$P$9</c:f>
              <c:numCache>
                <c:formatCode>0.00_ </c:formatCode>
                <c:ptCount val="15"/>
                <c:pt idx="0">
                  <c:v>2.4</c:v>
                </c:pt>
                <c:pt idx="1">
                  <c:v>2.4375</c:v>
                </c:pt>
                <c:pt idx="2">
                  <c:v>3.8571428571428572</c:v>
                </c:pt>
                <c:pt idx="3">
                  <c:v>5</c:v>
                </c:pt>
                <c:pt idx="4">
                  <c:v>4.375</c:v>
                </c:pt>
                <c:pt idx="5">
                  <c:v>4.375</c:v>
                </c:pt>
                <c:pt idx="6">
                  <c:v>4.3</c:v>
                </c:pt>
                <c:pt idx="7">
                  <c:v>3.3</c:v>
                </c:pt>
                <c:pt idx="8">
                  <c:v>3.9444444444444446</c:v>
                </c:pt>
                <c:pt idx="9">
                  <c:v>4.8571428571428568</c:v>
                </c:pt>
                <c:pt idx="10">
                  <c:v>3.8888888888888888</c:v>
                </c:pt>
                <c:pt idx="11">
                  <c:v>3.6666666666666665</c:v>
                </c:pt>
                <c:pt idx="12">
                  <c:v>4.1428571428571432</c:v>
                </c:pt>
                <c:pt idx="13">
                  <c:v>2.2222222222222223</c:v>
                </c:pt>
                <c:pt idx="14">
                  <c:v>3.3888888888888888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8-464E-BE1B-4B73CDF77B62}"/>
            </c:ext>
          </c:extLst>
        </c:ser>
        <c:ser>
          <c:idx val="1"/>
          <c:order val="1"/>
          <c:tx>
            <c:strRef>
              <c:f>'表1、2'!$A$10</c:f>
              <c:strCache>
                <c:ptCount val="1"/>
                <c:pt idx="0">
                  <c:v>遅延再生条件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'表1、2'!$B$8:$P$8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'表1、2'!$B$10:$P$10</c:f>
              <c:numCache>
                <c:formatCode>0.00</c:formatCode>
                <c:ptCount val="15"/>
                <c:pt idx="0">
                  <c:v>2</c:v>
                </c:pt>
                <c:pt idx="1">
                  <c:v>2.9375</c:v>
                </c:pt>
                <c:pt idx="2">
                  <c:v>2.1666666666666665</c:v>
                </c:pt>
                <c:pt idx="3">
                  <c:v>3.4285714285714284</c:v>
                </c:pt>
                <c:pt idx="4">
                  <c:v>4.166666666666667</c:v>
                </c:pt>
                <c:pt idx="5">
                  <c:v>3.6111111111111112</c:v>
                </c:pt>
                <c:pt idx="6">
                  <c:v>2.6666666666666665</c:v>
                </c:pt>
                <c:pt idx="7">
                  <c:v>2.7142857142857144</c:v>
                </c:pt>
                <c:pt idx="8">
                  <c:v>3.9285714285714284</c:v>
                </c:pt>
                <c:pt idx="9">
                  <c:v>3.2142857142857144</c:v>
                </c:pt>
                <c:pt idx="10">
                  <c:v>4.75</c:v>
                </c:pt>
                <c:pt idx="11">
                  <c:v>3.4285714285714284</c:v>
                </c:pt>
                <c:pt idx="12">
                  <c:v>4.125</c:v>
                </c:pt>
                <c:pt idx="13">
                  <c:v>3.75</c:v>
                </c:pt>
                <c:pt idx="14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8-464E-BE1B-4B73CDF77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777392"/>
        <c:axId val="1451778352"/>
      </c:lineChart>
      <c:catAx>
        <c:axId val="145177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系列位置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1778352"/>
        <c:crosses val="autoZero"/>
        <c:auto val="1"/>
        <c:lblAlgn val="ctr"/>
        <c:lblOffset val="100"/>
        <c:noMultiLvlLbl val="0"/>
      </c:catAx>
      <c:valAx>
        <c:axId val="14517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再生順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177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80065</xdr:colOff>
      <xdr:row>10</xdr:row>
      <xdr:rowOff>102704</xdr:rowOff>
    </xdr:from>
    <xdr:to>
      <xdr:col>9</xdr:col>
      <xdr:colOff>245717</xdr:colOff>
      <xdr:row>21</xdr:row>
      <xdr:rowOff>234122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83A496B-26D3-7162-F568-9E8E10512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477632</xdr:colOff>
      <xdr:row>11</xdr:row>
      <xdr:rowOff>36444</xdr:rowOff>
    </xdr:from>
    <xdr:to>
      <xdr:col>17</xdr:col>
      <xdr:colOff>13806</xdr:colOff>
      <xdr:row>22</xdr:row>
      <xdr:rowOff>167862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A5C6FD-DCE2-92CC-364F-05A7157A4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opLeftCell="A4" zoomScale="115" zoomScaleNormal="115" workbookViewId="0">
      <selection activeCell="E2" sqref="E2"/>
    </sheetView>
  </sheetViews>
  <sheetFormatPr defaultColWidth="9" defaultRowHeight="18.75" customHeight="1" x14ac:dyDescent="0.2"/>
  <cols>
    <col min="1" max="1" width="13" style="2" bestFit="1" customWidth="1"/>
    <col min="2" max="16384" width="9" style="2"/>
  </cols>
  <sheetData>
    <row r="1" spans="1:16" ht="18.75" customHeight="1" x14ac:dyDescent="0.2">
      <c r="A1" s="1" t="s">
        <v>8</v>
      </c>
    </row>
    <row r="3" spans="1:16" ht="18.75" customHeight="1" x14ac:dyDescent="0.2">
      <c r="A3" s="3" t="s">
        <v>0</v>
      </c>
    </row>
    <row r="4" spans="1:16" ht="18.75" customHeight="1" x14ac:dyDescent="0.2">
      <c r="A4" s="5" t="s">
        <v>7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</row>
    <row r="5" spans="1:16" ht="18.75" customHeight="1" x14ac:dyDescent="0.2">
      <c r="A5" s="5">
        <v>1</v>
      </c>
      <c r="B5" s="2">
        <v>4.5</v>
      </c>
      <c r="C5" s="2">
        <v>1</v>
      </c>
      <c r="D5" s="2">
        <v>8</v>
      </c>
      <c r="E5" s="2">
        <v>4</v>
      </c>
      <c r="F5" s="2">
        <v>4.5</v>
      </c>
      <c r="H5" s="2">
        <v>3</v>
      </c>
      <c r="I5" s="2">
        <v>4</v>
      </c>
      <c r="J5" s="2">
        <v>3</v>
      </c>
      <c r="K5" s="2">
        <v>3</v>
      </c>
      <c r="L5" s="2">
        <v>5</v>
      </c>
      <c r="M5" s="2">
        <v>1</v>
      </c>
      <c r="O5" s="2">
        <v>1.5</v>
      </c>
      <c r="P5" s="2">
        <v>2</v>
      </c>
    </row>
    <row r="6" spans="1:16" ht="18.75" customHeight="1" x14ac:dyDescent="0.2">
      <c r="A6" s="5">
        <v>2</v>
      </c>
      <c r="B6" s="2">
        <v>3</v>
      </c>
      <c r="C6" s="2">
        <v>4</v>
      </c>
      <c r="E6" s="2">
        <v>4</v>
      </c>
      <c r="F6" s="2">
        <v>3.5</v>
      </c>
      <c r="J6" s="2">
        <v>6</v>
      </c>
      <c r="L6" s="2">
        <v>4</v>
      </c>
      <c r="M6" s="2">
        <v>5</v>
      </c>
      <c r="N6" s="2">
        <v>1</v>
      </c>
      <c r="O6" s="2">
        <v>1.5</v>
      </c>
      <c r="P6" s="2">
        <v>2</v>
      </c>
    </row>
    <row r="7" spans="1:16" ht="18.75" customHeight="1" x14ac:dyDescent="0.2">
      <c r="A7" s="5">
        <v>3</v>
      </c>
      <c r="B7" s="2">
        <v>1</v>
      </c>
      <c r="C7" s="2">
        <v>2.5</v>
      </c>
      <c r="D7" s="2">
        <v>2</v>
      </c>
      <c r="E7" s="2">
        <v>5.5</v>
      </c>
      <c r="F7" s="2">
        <v>5.5</v>
      </c>
      <c r="G7" s="2">
        <v>4</v>
      </c>
      <c r="H7" s="2">
        <v>4.5</v>
      </c>
      <c r="I7" s="2">
        <v>6</v>
      </c>
      <c r="J7" s="2">
        <v>5</v>
      </c>
      <c r="K7" s="2">
        <v>6</v>
      </c>
      <c r="L7" s="2">
        <v>8</v>
      </c>
      <c r="M7" s="2">
        <v>9</v>
      </c>
      <c r="N7" s="2">
        <v>5.5</v>
      </c>
      <c r="O7" s="2">
        <v>4</v>
      </c>
      <c r="P7" s="2">
        <v>7</v>
      </c>
    </row>
    <row r="8" spans="1:16" ht="18.75" customHeight="1" x14ac:dyDescent="0.2">
      <c r="A8" s="5">
        <v>4</v>
      </c>
      <c r="B8" s="2">
        <v>4</v>
      </c>
      <c r="C8" s="2">
        <v>4</v>
      </c>
      <c r="D8" s="2">
        <v>5</v>
      </c>
      <c r="E8" s="2">
        <v>8.5</v>
      </c>
      <c r="F8" s="2">
        <v>6.5</v>
      </c>
      <c r="G8" s="2">
        <v>4</v>
      </c>
      <c r="H8" s="2">
        <v>4</v>
      </c>
      <c r="J8" s="2">
        <v>5</v>
      </c>
      <c r="K8" s="2">
        <v>7</v>
      </c>
      <c r="L8" s="2">
        <v>1</v>
      </c>
      <c r="M8" s="2">
        <v>2</v>
      </c>
      <c r="N8" s="2">
        <v>4.5</v>
      </c>
      <c r="O8" s="2">
        <v>1.5</v>
      </c>
      <c r="P8" s="2">
        <v>2.5</v>
      </c>
    </row>
    <row r="9" spans="1:16" ht="18.75" customHeight="1" x14ac:dyDescent="0.2">
      <c r="A9" s="5">
        <v>5</v>
      </c>
      <c r="B9" s="2">
        <v>2.5</v>
      </c>
      <c r="C9" s="2">
        <v>2</v>
      </c>
      <c r="D9" s="2">
        <v>3</v>
      </c>
      <c r="L9" s="2">
        <v>2</v>
      </c>
      <c r="M9" s="2">
        <v>2</v>
      </c>
      <c r="N9" s="2">
        <v>2.5</v>
      </c>
      <c r="O9" s="2">
        <v>1</v>
      </c>
    </row>
    <row r="10" spans="1:16" ht="18.75" customHeight="1" x14ac:dyDescent="0.2">
      <c r="A10" s="5">
        <v>6</v>
      </c>
      <c r="B10" s="2">
        <v>1</v>
      </c>
      <c r="C10" s="2">
        <v>2</v>
      </c>
      <c r="D10" s="2">
        <v>3</v>
      </c>
      <c r="F10" s="2">
        <v>3.5</v>
      </c>
      <c r="G10" s="2">
        <v>2</v>
      </c>
      <c r="J10" s="2">
        <v>4</v>
      </c>
      <c r="L10" s="2">
        <v>5</v>
      </c>
      <c r="M10" s="2">
        <v>1</v>
      </c>
      <c r="N10" s="2">
        <v>6</v>
      </c>
      <c r="O10" s="2">
        <v>1.5</v>
      </c>
      <c r="P10" s="2">
        <v>3</v>
      </c>
    </row>
    <row r="11" spans="1:16" ht="18.75" customHeight="1" x14ac:dyDescent="0.2">
      <c r="A11" s="5">
        <v>7</v>
      </c>
      <c r="B11" s="2">
        <v>3</v>
      </c>
      <c r="H11" s="2">
        <v>4</v>
      </c>
      <c r="J11" s="2">
        <v>3.5</v>
      </c>
      <c r="K11" s="2">
        <v>3</v>
      </c>
      <c r="L11" s="2">
        <v>1</v>
      </c>
      <c r="M11" s="2">
        <v>1</v>
      </c>
      <c r="O11" s="2">
        <v>2</v>
      </c>
      <c r="P11" s="2">
        <v>2</v>
      </c>
    </row>
    <row r="12" spans="1:16" ht="18.75" customHeight="1" x14ac:dyDescent="0.2">
      <c r="A12" s="5">
        <v>8</v>
      </c>
      <c r="B12" s="2">
        <v>1</v>
      </c>
      <c r="C12" s="2">
        <v>2</v>
      </c>
      <c r="D12" s="2">
        <v>3</v>
      </c>
      <c r="E12" s="2">
        <v>3</v>
      </c>
      <c r="F12" s="2">
        <v>4.5</v>
      </c>
      <c r="G12" s="2">
        <v>7.5</v>
      </c>
      <c r="H12" s="2">
        <v>6</v>
      </c>
      <c r="I12" s="2">
        <v>1</v>
      </c>
      <c r="J12" s="2">
        <v>2</v>
      </c>
      <c r="K12" s="2">
        <v>3</v>
      </c>
      <c r="L12" s="2">
        <v>7</v>
      </c>
      <c r="M12" s="2">
        <v>7</v>
      </c>
      <c r="N12" s="2">
        <v>5.5</v>
      </c>
      <c r="P12" s="2">
        <v>5</v>
      </c>
    </row>
    <row r="13" spans="1:16" ht="18.75" customHeight="1" x14ac:dyDescent="0.2">
      <c r="A13" s="5">
        <v>9</v>
      </c>
      <c r="B13" s="2">
        <v>3</v>
      </c>
      <c r="F13" s="2">
        <v>4</v>
      </c>
      <c r="I13" s="2">
        <v>2</v>
      </c>
      <c r="J13" s="2">
        <v>2</v>
      </c>
      <c r="K13" s="2">
        <v>5</v>
      </c>
      <c r="L13" s="2">
        <v>2</v>
      </c>
      <c r="O13" s="2">
        <v>1</v>
      </c>
      <c r="P13" s="2">
        <v>1</v>
      </c>
    </row>
    <row r="14" spans="1:16" ht="18.75" customHeight="1" x14ac:dyDescent="0.2">
      <c r="A14" s="5">
        <v>10</v>
      </c>
      <c r="B14" s="2">
        <v>1</v>
      </c>
      <c r="C14" s="2">
        <v>2</v>
      </c>
      <c r="D14" s="2">
        <v>3</v>
      </c>
      <c r="F14" s="2">
        <v>3</v>
      </c>
      <c r="I14" s="2">
        <v>3.5</v>
      </c>
      <c r="J14" s="2">
        <v>5</v>
      </c>
      <c r="K14" s="2">
        <v>7</v>
      </c>
      <c r="M14" s="2">
        <v>5</v>
      </c>
      <c r="N14" s="2">
        <v>4</v>
      </c>
      <c r="O14" s="2">
        <v>6</v>
      </c>
      <c r="P14" s="2">
        <v>6</v>
      </c>
    </row>
    <row r="15" spans="1:16" ht="18.75" customHeight="1" x14ac:dyDescent="0.2">
      <c r="A15" s="2" t="s">
        <v>2</v>
      </c>
      <c r="B15" s="4">
        <f>AVERAGE(B5:B14)</f>
        <v>2.4</v>
      </c>
      <c r="C15" s="4">
        <f>AVERAGE(C5:C14)</f>
        <v>2.4375</v>
      </c>
      <c r="D15" s="4">
        <f t="shared" ref="D15:P15" si="0">AVERAGE(D5:D14)</f>
        <v>3.8571428571428572</v>
      </c>
      <c r="E15" s="4">
        <f>AVERAGE(E5:E14)</f>
        <v>5</v>
      </c>
      <c r="F15" s="4">
        <f t="shared" si="0"/>
        <v>4.375</v>
      </c>
      <c r="G15" s="4">
        <f t="shared" si="0"/>
        <v>4.375</v>
      </c>
      <c r="H15" s="4">
        <f>AVERAGE(H5:H14)</f>
        <v>4.3</v>
      </c>
      <c r="I15" s="4">
        <f t="shared" si="0"/>
        <v>3.3</v>
      </c>
      <c r="J15" s="4">
        <f t="shared" si="0"/>
        <v>3.9444444444444446</v>
      </c>
      <c r="K15" s="4">
        <f t="shared" si="0"/>
        <v>4.8571428571428568</v>
      </c>
      <c r="L15" s="4">
        <f t="shared" si="0"/>
        <v>3.8888888888888888</v>
      </c>
      <c r="M15" s="4">
        <f t="shared" si="0"/>
        <v>3.6666666666666665</v>
      </c>
      <c r="N15" s="4">
        <f t="shared" si="0"/>
        <v>4.1428571428571432</v>
      </c>
      <c r="O15" s="4">
        <f t="shared" si="0"/>
        <v>2.2222222222222223</v>
      </c>
      <c r="P15" s="4">
        <f t="shared" si="0"/>
        <v>3.3888888888888888</v>
      </c>
    </row>
    <row r="16" spans="1:16" ht="18.75" customHeight="1" x14ac:dyDescent="0.2">
      <c r="A16" s="2" t="s">
        <v>3</v>
      </c>
      <c r="B16" s="4">
        <f>STDEV(B5:B14)</f>
        <v>1.3291601358251257</v>
      </c>
      <c r="C16" s="4">
        <f>STDEV(C5:C14)</f>
        <v>1.0500850305706539</v>
      </c>
      <c r="D16" s="4">
        <f t="shared" ref="D16:P16" si="1">STDEV(D5:D14)</f>
        <v>2.0354009783964297</v>
      </c>
      <c r="E16" s="4">
        <f t="shared" si="1"/>
        <v>2.1505813167606567</v>
      </c>
      <c r="F16" s="4">
        <f>STDEV(F5:F14)</f>
        <v>1.1572751247156894</v>
      </c>
      <c r="G16" s="4">
        <f t="shared" si="1"/>
        <v>2.2867371223353739</v>
      </c>
      <c r="H16" s="4">
        <f t="shared" si="1"/>
        <v>1.0954451150103319</v>
      </c>
      <c r="I16" s="4">
        <f t="shared" si="1"/>
        <v>1.9235384061671343</v>
      </c>
      <c r="J16" s="4">
        <f t="shared" si="1"/>
        <v>1.4240006242195888</v>
      </c>
      <c r="K16" s="4">
        <f t="shared" si="1"/>
        <v>1.8644544714716089</v>
      </c>
      <c r="L16" s="4">
        <f t="shared" si="1"/>
        <v>2.5712081034235852</v>
      </c>
      <c r="M16" s="4">
        <f t="shared" si="1"/>
        <v>2.9580398915498081</v>
      </c>
      <c r="N16" s="4">
        <f t="shared" si="1"/>
        <v>1.8192096661802921</v>
      </c>
      <c r="O16" s="4">
        <f t="shared" si="1"/>
        <v>1.6791201399674904</v>
      </c>
      <c r="P16" s="4">
        <f t="shared" si="1"/>
        <v>2.0883273476902779</v>
      </c>
    </row>
    <row r="18" spans="1:16" ht="18.75" customHeight="1" x14ac:dyDescent="0.2">
      <c r="A18" s="3" t="s">
        <v>1</v>
      </c>
    </row>
    <row r="19" spans="1:16" ht="18.75" customHeight="1" x14ac:dyDescent="0.2">
      <c r="A19" s="5" t="s">
        <v>7</v>
      </c>
      <c r="B19" s="5">
        <v>1</v>
      </c>
      <c r="C19" s="5">
        <v>2</v>
      </c>
      <c r="D19" s="5">
        <v>3</v>
      </c>
      <c r="E19" s="5">
        <v>4</v>
      </c>
      <c r="F19" s="5">
        <v>5</v>
      </c>
      <c r="G19" s="5">
        <v>6</v>
      </c>
      <c r="H19" s="5">
        <v>7</v>
      </c>
      <c r="I19" s="5">
        <v>8</v>
      </c>
      <c r="J19" s="5">
        <v>9</v>
      </c>
      <c r="K19" s="5">
        <v>10</v>
      </c>
      <c r="L19" s="5">
        <v>11</v>
      </c>
      <c r="M19" s="5">
        <v>12</v>
      </c>
      <c r="N19" s="5">
        <v>13</v>
      </c>
      <c r="O19" s="5">
        <v>14</v>
      </c>
      <c r="P19" s="5">
        <v>15</v>
      </c>
    </row>
    <row r="20" spans="1:16" ht="18.75" customHeight="1" x14ac:dyDescent="0.2">
      <c r="A20" s="5">
        <v>1</v>
      </c>
      <c r="B20" s="2">
        <v>4.5</v>
      </c>
      <c r="C20" s="2">
        <v>2</v>
      </c>
      <c r="D20" s="2">
        <v>1</v>
      </c>
      <c r="E20" s="2">
        <v>4</v>
      </c>
      <c r="F20" s="2">
        <v>3</v>
      </c>
      <c r="G20" s="2">
        <v>3</v>
      </c>
      <c r="J20" s="2">
        <v>4</v>
      </c>
      <c r="M20" s="2">
        <v>2.5</v>
      </c>
      <c r="N20" s="2">
        <v>1</v>
      </c>
      <c r="O20" s="2">
        <v>5</v>
      </c>
      <c r="P20" s="2">
        <v>3</v>
      </c>
    </row>
    <row r="21" spans="1:16" ht="18.75" customHeight="1" x14ac:dyDescent="0.2">
      <c r="A21" s="5">
        <v>2</v>
      </c>
      <c r="B21" s="2">
        <v>1</v>
      </c>
      <c r="C21" s="2">
        <v>3</v>
      </c>
      <c r="D21" s="2">
        <v>5</v>
      </c>
      <c r="E21" s="2">
        <v>4</v>
      </c>
      <c r="G21" s="2">
        <v>3</v>
      </c>
      <c r="I21" s="2">
        <v>1</v>
      </c>
      <c r="J21" s="2">
        <v>2</v>
      </c>
      <c r="L21" s="2">
        <v>5</v>
      </c>
      <c r="M21" s="2">
        <v>2</v>
      </c>
      <c r="O21" s="2">
        <v>4</v>
      </c>
      <c r="P21" s="2">
        <v>1</v>
      </c>
    </row>
    <row r="22" spans="1:16" ht="18.75" customHeight="1" x14ac:dyDescent="0.2">
      <c r="A22" s="5">
        <v>3</v>
      </c>
      <c r="B22" s="2">
        <v>1</v>
      </c>
      <c r="C22" s="2">
        <v>4</v>
      </c>
      <c r="D22" s="2">
        <v>3</v>
      </c>
      <c r="E22" s="2">
        <v>2</v>
      </c>
      <c r="G22" s="2">
        <v>5</v>
      </c>
      <c r="I22" s="2">
        <v>4</v>
      </c>
      <c r="J22" s="2">
        <v>7</v>
      </c>
      <c r="K22" s="2">
        <v>3</v>
      </c>
      <c r="L22" s="2">
        <v>5</v>
      </c>
      <c r="M22" s="2">
        <v>1</v>
      </c>
      <c r="N22" s="2">
        <v>4</v>
      </c>
      <c r="O22" s="2">
        <v>2.5</v>
      </c>
      <c r="P22" s="2">
        <v>2.5</v>
      </c>
    </row>
    <row r="23" spans="1:16" ht="18.75" customHeight="1" x14ac:dyDescent="0.2">
      <c r="A23" s="5">
        <v>4</v>
      </c>
      <c r="B23" s="2">
        <v>1</v>
      </c>
      <c r="F23" s="2">
        <v>2</v>
      </c>
      <c r="G23" s="2">
        <v>2.5</v>
      </c>
      <c r="K23" s="2">
        <v>4.5</v>
      </c>
      <c r="L23" s="2">
        <v>4.5</v>
      </c>
      <c r="N23" s="2">
        <v>4</v>
      </c>
      <c r="O23" s="2">
        <v>4</v>
      </c>
      <c r="P23" s="2">
        <v>1</v>
      </c>
    </row>
    <row r="24" spans="1:16" ht="18.75" customHeight="1" x14ac:dyDescent="0.2">
      <c r="A24" s="5">
        <v>5</v>
      </c>
      <c r="B24" s="2">
        <v>4.5</v>
      </c>
      <c r="C24" s="2">
        <v>7</v>
      </c>
      <c r="D24" s="2">
        <v>1</v>
      </c>
      <c r="E24" s="2">
        <v>7</v>
      </c>
      <c r="F24" s="2">
        <v>8</v>
      </c>
      <c r="G24" s="2">
        <v>4</v>
      </c>
      <c r="H24" s="2">
        <v>1</v>
      </c>
      <c r="I24" s="2">
        <v>2</v>
      </c>
      <c r="J24" s="2">
        <v>3</v>
      </c>
      <c r="K24" s="2">
        <v>5</v>
      </c>
      <c r="L24" s="2">
        <v>5</v>
      </c>
      <c r="M24" s="2">
        <v>3</v>
      </c>
      <c r="N24" s="2">
        <v>6</v>
      </c>
      <c r="O24" s="2">
        <v>5</v>
      </c>
      <c r="P24" s="2">
        <v>6</v>
      </c>
    </row>
    <row r="25" spans="1:16" ht="18.75" customHeight="1" x14ac:dyDescent="0.2">
      <c r="A25" s="5">
        <v>6</v>
      </c>
      <c r="B25" s="2">
        <v>1</v>
      </c>
      <c r="C25" s="2">
        <v>2</v>
      </c>
      <c r="E25" s="2">
        <v>4</v>
      </c>
      <c r="F25" s="2">
        <v>5</v>
      </c>
      <c r="G25" s="2">
        <v>4</v>
      </c>
      <c r="H25" s="2">
        <v>6</v>
      </c>
      <c r="I25" s="2">
        <v>2</v>
      </c>
      <c r="J25" s="2">
        <v>4.5</v>
      </c>
      <c r="K25" s="2">
        <v>2</v>
      </c>
      <c r="L25" s="2">
        <v>5</v>
      </c>
      <c r="M25" s="2">
        <v>3.5</v>
      </c>
      <c r="N25" s="2">
        <v>2</v>
      </c>
      <c r="O25" s="2">
        <v>3</v>
      </c>
      <c r="P25" s="2">
        <v>3</v>
      </c>
    </row>
    <row r="26" spans="1:16" ht="18.75" customHeight="1" x14ac:dyDescent="0.2">
      <c r="A26" s="5">
        <v>7</v>
      </c>
      <c r="B26" s="2">
        <v>2</v>
      </c>
      <c r="C26" s="2">
        <v>2.5</v>
      </c>
      <c r="D26" s="2">
        <v>1</v>
      </c>
      <c r="F26" s="2">
        <v>4</v>
      </c>
      <c r="G26" s="2">
        <v>4</v>
      </c>
      <c r="H26" s="2">
        <v>1</v>
      </c>
      <c r="I26" s="2">
        <v>3</v>
      </c>
      <c r="J26" s="2">
        <v>4</v>
      </c>
      <c r="K26" s="2">
        <v>3</v>
      </c>
      <c r="L26" s="2">
        <v>4</v>
      </c>
      <c r="N26" s="2">
        <v>6</v>
      </c>
    </row>
    <row r="27" spans="1:16" ht="18.75" customHeight="1" x14ac:dyDescent="0.2">
      <c r="A27" s="5">
        <v>8</v>
      </c>
      <c r="B27" s="2">
        <v>2</v>
      </c>
      <c r="C27" s="2">
        <v>1</v>
      </c>
      <c r="D27" s="2">
        <v>2</v>
      </c>
      <c r="E27" s="2">
        <v>2</v>
      </c>
      <c r="G27" s="2">
        <v>4</v>
      </c>
      <c r="I27" s="2">
        <v>4</v>
      </c>
      <c r="J27" s="2">
        <v>3</v>
      </c>
      <c r="K27" s="2">
        <v>3</v>
      </c>
      <c r="M27" s="2">
        <v>6</v>
      </c>
      <c r="N27" s="2">
        <v>5</v>
      </c>
      <c r="O27" s="2">
        <v>3</v>
      </c>
    </row>
    <row r="28" spans="1:16" ht="18.75" customHeight="1" x14ac:dyDescent="0.2">
      <c r="A28" s="5">
        <v>9</v>
      </c>
      <c r="B28" s="2">
        <v>1</v>
      </c>
      <c r="C28" s="2">
        <v>2</v>
      </c>
      <c r="E28" s="2">
        <v>1</v>
      </c>
      <c r="F28" s="2">
        <v>3</v>
      </c>
      <c r="G28" s="2">
        <v>3</v>
      </c>
      <c r="I28" s="2">
        <v>3</v>
      </c>
      <c r="K28" s="2">
        <v>2</v>
      </c>
      <c r="M28" s="2">
        <v>6</v>
      </c>
      <c r="N28" s="2">
        <v>5</v>
      </c>
      <c r="O28" s="2">
        <v>3.5</v>
      </c>
    </row>
    <row r="29" spans="1:16" ht="18.75" customHeight="1" x14ac:dyDescent="0.2">
      <c r="A29" s="2" t="s">
        <v>2</v>
      </c>
      <c r="B29" s="4">
        <f>AVERAGE(B20:B28)</f>
        <v>2</v>
      </c>
      <c r="C29" s="4">
        <f t="shared" ref="C29:P29" si="2">AVERAGE(C20:C28)</f>
        <v>2.9375</v>
      </c>
      <c r="D29" s="4">
        <f t="shared" si="2"/>
        <v>2.1666666666666665</v>
      </c>
      <c r="E29" s="4">
        <f t="shared" si="2"/>
        <v>3.4285714285714284</v>
      </c>
      <c r="F29" s="4">
        <f t="shared" si="2"/>
        <v>4.166666666666667</v>
      </c>
      <c r="G29" s="4">
        <f>AVERAGE(G20:G28)</f>
        <v>3.6111111111111112</v>
      </c>
      <c r="H29" s="4">
        <f>AVERAGE(H20:H28)</f>
        <v>2.6666666666666665</v>
      </c>
      <c r="I29" s="4">
        <f t="shared" si="2"/>
        <v>2.7142857142857144</v>
      </c>
      <c r="J29" s="4">
        <f t="shared" si="2"/>
        <v>3.9285714285714284</v>
      </c>
      <c r="K29" s="4">
        <f t="shared" si="2"/>
        <v>3.2142857142857144</v>
      </c>
      <c r="L29" s="4">
        <f t="shared" si="2"/>
        <v>4.75</v>
      </c>
      <c r="M29" s="4">
        <f t="shared" si="2"/>
        <v>3.4285714285714284</v>
      </c>
      <c r="N29" s="4">
        <f t="shared" si="2"/>
        <v>4.125</v>
      </c>
      <c r="O29" s="4">
        <f t="shared" si="2"/>
        <v>3.75</v>
      </c>
      <c r="P29" s="4">
        <f t="shared" si="2"/>
        <v>2.75</v>
      </c>
    </row>
    <row r="30" spans="1:16" ht="18.75" customHeight="1" x14ac:dyDescent="0.2">
      <c r="A30" s="2" t="s">
        <v>3</v>
      </c>
      <c r="B30" s="4">
        <f>STDEV(B20:B28)</f>
        <v>1.479019945774904</v>
      </c>
      <c r="C30" s="4">
        <f t="shared" ref="C30:P30" si="3">STDEV(C20:C28)</f>
        <v>1.8600595228571124</v>
      </c>
      <c r="D30" s="4">
        <f t="shared" si="3"/>
        <v>1.602081978759722</v>
      </c>
      <c r="E30" s="4">
        <f t="shared" si="3"/>
        <v>1.9880595947760096</v>
      </c>
      <c r="F30" s="4">
        <f t="shared" si="3"/>
        <v>2.1369760566432805</v>
      </c>
      <c r="G30" s="4">
        <f t="shared" si="3"/>
        <v>0.78173595997057133</v>
      </c>
      <c r="H30" s="4">
        <f t="shared" si="3"/>
        <v>2.8867513459481291</v>
      </c>
      <c r="I30" s="4">
        <f>STDEV(I20:I28)</f>
        <v>1.1126972805283737</v>
      </c>
      <c r="J30" s="4">
        <f t="shared" si="3"/>
        <v>1.5923926292577106</v>
      </c>
      <c r="K30" s="4">
        <f t="shared" si="3"/>
        <v>1.1495340671022203</v>
      </c>
      <c r="L30" s="4">
        <f t="shared" si="3"/>
        <v>0.41833001326703778</v>
      </c>
      <c r="M30" s="4">
        <f t="shared" si="3"/>
        <v>1.9241572057347474</v>
      </c>
      <c r="N30" s="4">
        <f t="shared" si="3"/>
        <v>1.807721533549109</v>
      </c>
      <c r="O30" s="4">
        <f t="shared" si="3"/>
        <v>0.92582009977255142</v>
      </c>
      <c r="P30" s="4">
        <f t="shared" si="3"/>
        <v>1.8371173070873836</v>
      </c>
    </row>
    <row r="32" spans="1:16" ht="18.75" customHeight="1" x14ac:dyDescent="0.2">
      <c r="A32" s="6" t="s">
        <v>9</v>
      </c>
    </row>
    <row r="34" spans="1:16" ht="18.75" customHeight="1" x14ac:dyDescent="0.2">
      <c r="A34" s="3" t="s">
        <v>0</v>
      </c>
    </row>
    <row r="35" spans="1:16" ht="18.75" customHeight="1" x14ac:dyDescent="0.2">
      <c r="A35" s="5" t="s">
        <v>7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</row>
    <row r="36" spans="1:16" ht="18.75" customHeight="1" x14ac:dyDescent="0.2">
      <c r="A36" s="5">
        <v>1</v>
      </c>
      <c r="B36" s="2">
        <v>4</v>
      </c>
      <c r="C36" s="2">
        <v>1</v>
      </c>
      <c r="D36" s="2">
        <v>1</v>
      </c>
      <c r="E36" s="2">
        <v>3</v>
      </c>
      <c r="F36" s="2">
        <v>2</v>
      </c>
      <c r="G36" s="2">
        <v>0</v>
      </c>
      <c r="H36" s="2">
        <v>1</v>
      </c>
      <c r="I36" s="2">
        <v>1</v>
      </c>
      <c r="J36" s="2">
        <v>2</v>
      </c>
      <c r="K36" s="2">
        <v>1</v>
      </c>
      <c r="L36" s="2">
        <v>1</v>
      </c>
      <c r="M36" s="2">
        <v>1</v>
      </c>
      <c r="N36" s="2">
        <v>0</v>
      </c>
      <c r="O36" s="2">
        <v>2</v>
      </c>
      <c r="P36" s="2">
        <v>3</v>
      </c>
    </row>
    <row r="37" spans="1:16" ht="18.75" customHeight="1" x14ac:dyDescent="0.2">
      <c r="A37" s="5">
        <v>2</v>
      </c>
      <c r="B37" s="2">
        <v>1</v>
      </c>
      <c r="C37" s="2">
        <v>3</v>
      </c>
      <c r="D37" s="2">
        <v>0</v>
      </c>
      <c r="E37" s="2">
        <v>1</v>
      </c>
      <c r="F37" s="2">
        <v>2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2</v>
      </c>
      <c r="M37" s="2">
        <v>1</v>
      </c>
      <c r="N37" s="2">
        <v>3</v>
      </c>
      <c r="O37" s="2">
        <v>2</v>
      </c>
      <c r="P37" s="2">
        <v>3</v>
      </c>
    </row>
    <row r="38" spans="1:16" ht="18.75" customHeight="1" x14ac:dyDescent="0.2">
      <c r="A38" s="5">
        <v>3</v>
      </c>
      <c r="B38" s="2">
        <v>4</v>
      </c>
      <c r="C38" s="2">
        <v>2</v>
      </c>
      <c r="D38" s="2">
        <v>2</v>
      </c>
      <c r="E38" s="2">
        <v>2</v>
      </c>
      <c r="F38" s="2">
        <v>2</v>
      </c>
      <c r="G38" s="2">
        <v>1</v>
      </c>
      <c r="H38" s="2">
        <v>4</v>
      </c>
      <c r="I38" s="2">
        <v>2</v>
      </c>
      <c r="J38" s="2">
        <v>3</v>
      </c>
      <c r="K38" s="2">
        <v>2</v>
      </c>
      <c r="L38" s="2">
        <v>3</v>
      </c>
      <c r="M38" s="2">
        <v>1</v>
      </c>
      <c r="N38" s="2">
        <v>2</v>
      </c>
      <c r="O38" s="2">
        <v>1</v>
      </c>
      <c r="P38" s="2">
        <v>1</v>
      </c>
    </row>
    <row r="39" spans="1:16" ht="18.75" customHeight="1" x14ac:dyDescent="0.2">
      <c r="A39" s="5">
        <v>4</v>
      </c>
      <c r="B39" s="2">
        <v>4</v>
      </c>
      <c r="C39" s="2">
        <v>3</v>
      </c>
      <c r="D39" s="2">
        <v>2</v>
      </c>
      <c r="E39" s="2">
        <v>2</v>
      </c>
      <c r="F39" s="2">
        <v>2</v>
      </c>
      <c r="G39" s="2">
        <v>1</v>
      </c>
      <c r="H39" s="2">
        <v>2</v>
      </c>
      <c r="I39" s="2">
        <v>0</v>
      </c>
      <c r="J39" s="2">
        <v>3</v>
      </c>
      <c r="K39" s="2">
        <v>1</v>
      </c>
      <c r="L39" s="2">
        <v>1</v>
      </c>
      <c r="M39" s="2">
        <v>3</v>
      </c>
      <c r="N39" s="2">
        <v>2</v>
      </c>
      <c r="O39" s="2">
        <v>2</v>
      </c>
      <c r="P39" s="2">
        <v>2</v>
      </c>
    </row>
    <row r="40" spans="1:16" ht="18.75" customHeight="1" x14ac:dyDescent="0.2">
      <c r="A40" s="5">
        <v>5</v>
      </c>
      <c r="B40" s="2">
        <v>2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</v>
      </c>
      <c r="M40" s="2">
        <v>2</v>
      </c>
      <c r="N40" s="2">
        <v>2</v>
      </c>
      <c r="O40" s="2">
        <v>1</v>
      </c>
      <c r="P40" s="2">
        <v>0</v>
      </c>
    </row>
    <row r="41" spans="1:16" ht="18.75" customHeight="1" x14ac:dyDescent="0.2">
      <c r="A41" s="5">
        <v>6</v>
      </c>
      <c r="B41" s="2">
        <v>1</v>
      </c>
      <c r="C41" s="2">
        <v>2</v>
      </c>
      <c r="D41" s="2">
        <v>2</v>
      </c>
      <c r="E41" s="2">
        <v>0</v>
      </c>
      <c r="F41" s="2">
        <v>2</v>
      </c>
      <c r="G41" s="2">
        <v>1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1</v>
      </c>
      <c r="N41" s="2">
        <v>1</v>
      </c>
      <c r="O41" s="2">
        <v>2</v>
      </c>
      <c r="P41" s="2">
        <v>1</v>
      </c>
    </row>
    <row r="42" spans="1:16" ht="18.75" customHeight="1" x14ac:dyDescent="0.2">
      <c r="A42" s="5">
        <v>7</v>
      </c>
      <c r="B42" s="2">
        <v>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2</v>
      </c>
      <c r="K42" s="2">
        <v>1</v>
      </c>
      <c r="L42" s="2">
        <v>1</v>
      </c>
      <c r="M42" s="2">
        <v>1</v>
      </c>
      <c r="N42" s="2">
        <v>0</v>
      </c>
      <c r="O42" s="2">
        <v>2</v>
      </c>
      <c r="P42" s="2">
        <v>4</v>
      </c>
    </row>
    <row r="43" spans="1:16" ht="18.75" customHeight="1" x14ac:dyDescent="0.2">
      <c r="A43" s="5">
        <v>8</v>
      </c>
      <c r="B43" s="2">
        <v>3</v>
      </c>
      <c r="C43" s="2">
        <v>3</v>
      </c>
      <c r="D43" s="2">
        <v>3</v>
      </c>
      <c r="E43" s="2">
        <v>3</v>
      </c>
      <c r="F43" s="2">
        <v>4</v>
      </c>
      <c r="G43" s="2">
        <v>4</v>
      </c>
      <c r="H43" s="2">
        <v>1</v>
      </c>
      <c r="I43" s="2">
        <v>1</v>
      </c>
      <c r="J43" s="2">
        <v>1</v>
      </c>
      <c r="K43" s="2">
        <v>1</v>
      </c>
      <c r="L43" s="2">
        <v>2</v>
      </c>
      <c r="M43" s="2">
        <v>1</v>
      </c>
      <c r="N43" s="2">
        <v>2</v>
      </c>
      <c r="O43" s="2">
        <v>0</v>
      </c>
      <c r="P43" s="2">
        <v>2</v>
      </c>
    </row>
    <row r="44" spans="1:16" ht="18.75" customHeight="1" x14ac:dyDescent="0.2">
      <c r="A44" s="5">
        <v>9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1</v>
      </c>
      <c r="K44" s="2">
        <v>1</v>
      </c>
      <c r="L44" s="2">
        <v>1</v>
      </c>
      <c r="M44" s="2">
        <v>0</v>
      </c>
      <c r="N44" s="2">
        <v>0</v>
      </c>
      <c r="O44" s="2">
        <v>2</v>
      </c>
      <c r="P44" s="2">
        <v>3</v>
      </c>
    </row>
    <row r="45" spans="1:16" ht="18.75" customHeight="1" x14ac:dyDescent="0.2">
      <c r="A45" s="5">
        <v>10</v>
      </c>
      <c r="B45" s="2">
        <v>3</v>
      </c>
      <c r="C45" s="2">
        <v>3</v>
      </c>
      <c r="D45" s="2">
        <v>3</v>
      </c>
      <c r="E45" s="2">
        <v>0</v>
      </c>
      <c r="F45" s="2">
        <v>3</v>
      </c>
      <c r="G45" s="2">
        <v>0</v>
      </c>
      <c r="H45" s="2">
        <v>0</v>
      </c>
      <c r="I45" s="2">
        <v>2</v>
      </c>
      <c r="J45" s="2">
        <v>2</v>
      </c>
      <c r="K45" s="2">
        <v>1</v>
      </c>
      <c r="L45" s="2">
        <v>0</v>
      </c>
      <c r="M45" s="2">
        <v>1</v>
      </c>
      <c r="N45" s="2">
        <v>1</v>
      </c>
      <c r="O45" s="2">
        <v>1</v>
      </c>
      <c r="P45" s="2">
        <v>1</v>
      </c>
    </row>
    <row r="46" spans="1:16" ht="18.75" customHeight="1" x14ac:dyDescent="0.2">
      <c r="A46" s="2" t="s">
        <v>4</v>
      </c>
      <c r="B46" s="4">
        <f>AVERAGE(B36:B45)</f>
        <v>2.6</v>
      </c>
      <c r="C46" s="4">
        <f t="shared" ref="C46:P46" si="4">AVERAGE(C36:C45)</f>
        <v>1.8</v>
      </c>
      <c r="D46" s="4">
        <f t="shared" si="4"/>
        <v>1.4</v>
      </c>
      <c r="E46" s="4">
        <f t="shared" si="4"/>
        <v>1.1000000000000001</v>
      </c>
      <c r="F46" s="4">
        <f>AVERAGE(F36:F45)</f>
        <v>1.8</v>
      </c>
      <c r="G46" s="4">
        <f t="shared" si="4"/>
        <v>0.7</v>
      </c>
      <c r="H46" s="4">
        <f t="shared" si="4"/>
        <v>0.9</v>
      </c>
      <c r="I46" s="4">
        <f t="shared" si="4"/>
        <v>0.7</v>
      </c>
      <c r="J46" s="4">
        <f t="shared" si="4"/>
        <v>1.6</v>
      </c>
      <c r="K46" s="4">
        <f t="shared" si="4"/>
        <v>0.8</v>
      </c>
      <c r="L46" s="4">
        <f t="shared" si="4"/>
        <v>1.4</v>
      </c>
      <c r="M46" s="4">
        <f t="shared" si="4"/>
        <v>1.2</v>
      </c>
      <c r="N46" s="4">
        <f t="shared" si="4"/>
        <v>1.3</v>
      </c>
      <c r="O46" s="4">
        <f t="shared" si="4"/>
        <v>1.5</v>
      </c>
      <c r="P46" s="4">
        <f t="shared" si="4"/>
        <v>2</v>
      </c>
    </row>
    <row r="47" spans="1:16" ht="18.75" customHeight="1" x14ac:dyDescent="0.2">
      <c r="A47" s="2" t="s">
        <v>5</v>
      </c>
      <c r="B47" s="4">
        <f>B46/4</f>
        <v>0.65</v>
      </c>
      <c r="C47" s="4">
        <f t="shared" ref="C47:P47" si="5">C46/4</f>
        <v>0.45</v>
      </c>
      <c r="D47" s="4">
        <f t="shared" si="5"/>
        <v>0.35</v>
      </c>
      <c r="E47" s="4">
        <f t="shared" si="5"/>
        <v>0.27500000000000002</v>
      </c>
      <c r="F47" s="4">
        <f t="shared" si="5"/>
        <v>0.45</v>
      </c>
      <c r="G47" s="4">
        <f>G46/4</f>
        <v>0.17499999999999999</v>
      </c>
      <c r="H47" s="4">
        <f t="shared" si="5"/>
        <v>0.22500000000000001</v>
      </c>
      <c r="I47" s="4">
        <f t="shared" si="5"/>
        <v>0.17499999999999999</v>
      </c>
      <c r="J47" s="4">
        <f t="shared" si="5"/>
        <v>0.4</v>
      </c>
      <c r="K47" s="4">
        <f t="shared" si="5"/>
        <v>0.2</v>
      </c>
      <c r="L47" s="4">
        <f t="shared" si="5"/>
        <v>0.35</v>
      </c>
      <c r="M47" s="4">
        <f t="shared" si="5"/>
        <v>0.3</v>
      </c>
      <c r="N47" s="4">
        <f t="shared" si="5"/>
        <v>0.32500000000000001</v>
      </c>
      <c r="O47" s="4">
        <f t="shared" si="5"/>
        <v>0.375</v>
      </c>
      <c r="P47" s="4">
        <f t="shared" si="5"/>
        <v>0.5</v>
      </c>
    </row>
    <row r="48" spans="1:16" ht="18.75" customHeight="1" x14ac:dyDescent="0.2">
      <c r="A48" s="2" t="s">
        <v>3</v>
      </c>
      <c r="B48" s="4">
        <f>STDEV(B36:B45)</f>
        <v>1.264911064067352</v>
      </c>
      <c r="C48" s="4">
        <f t="shared" ref="C48:P48" si="6">STDEV(C36:C45)</f>
        <v>1.2292725943057183</v>
      </c>
      <c r="D48" s="4">
        <f t="shared" si="6"/>
        <v>1.1737877907772671</v>
      </c>
      <c r="E48" s="4">
        <f t="shared" si="6"/>
        <v>1.2866839377079189</v>
      </c>
      <c r="F48" s="4">
        <f t="shared" si="6"/>
        <v>1.2292725943057183</v>
      </c>
      <c r="G48" s="4">
        <f>STDEV(G36:G45)</f>
        <v>1.2516655570345725</v>
      </c>
      <c r="H48" s="4">
        <f t="shared" si="6"/>
        <v>1.2866839377079189</v>
      </c>
      <c r="I48" s="4">
        <f t="shared" si="6"/>
        <v>0.82327260234856459</v>
      </c>
      <c r="J48" s="4">
        <f t="shared" si="6"/>
        <v>0.96609178307929577</v>
      </c>
      <c r="K48" s="4">
        <f t="shared" si="6"/>
        <v>0.63245553203367588</v>
      </c>
      <c r="L48" s="4">
        <f t="shared" si="6"/>
        <v>0.8432740427115677</v>
      </c>
      <c r="M48" s="4">
        <f t="shared" si="6"/>
        <v>0.78881063774661553</v>
      </c>
      <c r="N48" s="4">
        <f t="shared" si="6"/>
        <v>1.0593499054713804</v>
      </c>
      <c r="O48" s="4">
        <f t="shared" si="6"/>
        <v>0.70710678118654757</v>
      </c>
      <c r="P48" s="4">
        <f t="shared" si="6"/>
        <v>1.247219128924647</v>
      </c>
    </row>
    <row r="50" spans="1:17" ht="18.75" customHeight="1" x14ac:dyDescent="0.2">
      <c r="A50" s="3" t="s">
        <v>1</v>
      </c>
    </row>
    <row r="51" spans="1:17" ht="18.75" customHeight="1" x14ac:dyDescent="0.2">
      <c r="A51" s="5" t="s">
        <v>7</v>
      </c>
      <c r="B51" s="5">
        <v>1</v>
      </c>
      <c r="C51" s="5">
        <v>2</v>
      </c>
      <c r="D51" s="5">
        <v>3</v>
      </c>
      <c r="E51" s="5">
        <v>4</v>
      </c>
      <c r="F51" s="5">
        <v>5</v>
      </c>
      <c r="G51" s="5">
        <v>6</v>
      </c>
      <c r="H51" s="5">
        <v>7</v>
      </c>
      <c r="I51" s="5">
        <v>8</v>
      </c>
      <c r="J51" s="5">
        <v>9</v>
      </c>
      <c r="K51" s="5">
        <v>10</v>
      </c>
      <c r="L51" s="5">
        <v>11</v>
      </c>
      <c r="M51" s="5">
        <v>12</v>
      </c>
      <c r="N51" s="5">
        <v>13</v>
      </c>
      <c r="O51" s="5">
        <v>14</v>
      </c>
      <c r="P51" s="5">
        <v>15</v>
      </c>
    </row>
    <row r="52" spans="1:17" ht="18.75" customHeight="1" x14ac:dyDescent="0.2">
      <c r="A52" s="5">
        <v>1</v>
      </c>
      <c r="B52" s="2">
        <v>2</v>
      </c>
      <c r="C52" s="2">
        <v>1</v>
      </c>
      <c r="D52" s="2">
        <v>1</v>
      </c>
      <c r="E52" s="2">
        <v>2</v>
      </c>
      <c r="F52" s="2">
        <v>1</v>
      </c>
      <c r="G52" s="2">
        <v>2</v>
      </c>
      <c r="H52" s="2">
        <v>0</v>
      </c>
      <c r="I52" s="2">
        <v>0</v>
      </c>
      <c r="J52" s="2">
        <v>3</v>
      </c>
      <c r="K52" s="2">
        <v>0</v>
      </c>
      <c r="L52" s="2">
        <v>0</v>
      </c>
      <c r="M52" s="2">
        <v>2</v>
      </c>
      <c r="N52" s="2">
        <v>1</v>
      </c>
      <c r="O52" s="2">
        <v>2</v>
      </c>
      <c r="P52" s="2">
        <v>2</v>
      </c>
    </row>
    <row r="53" spans="1:17" ht="18.75" customHeight="1" x14ac:dyDescent="0.2">
      <c r="A53" s="5">
        <v>2</v>
      </c>
      <c r="B53" s="2">
        <v>1</v>
      </c>
      <c r="C53" s="2">
        <v>1</v>
      </c>
      <c r="D53" s="2">
        <v>1</v>
      </c>
      <c r="E53" s="2">
        <v>1</v>
      </c>
      <c r="F53" s="2">
        <v>0</v>
      </c>
      <c r="G53" s="2">
        <v>2</v>
      </c>
      <c r="H53" s="2">
        <v>0</v>
      </c>
      <c r="I53" s="2">
        <v>1</v>
      </c>
      <c r="J53" s="2">
        <v>3</v>
      </c>
      <c r="K53" s="2">
        <v>0</v>
      </c>
      <c r="L53" s="2">
        <v>1</v>
      </c>
      <c r="M53" s="2">
        <v>1</v>
      </c>
      <c r="N53" s="2">
        <v>0</v>
      </c>
      <c r="O53" s="2">
        <v>1</v>
      </c>
      <c r="P53" s="2">
        <v>3</v>
      </c>
    </row>
    <row r="54" spans="1:17" ht="18.75" customHeight="1" x14ac:dyDescent="0.2">
      <c r="A54" s="5">
        <v>3</v>
      </c>
      <c r="B54" s="2">
        <v>1</v>
      </c>
      <c r="C54" s="2">
        <v>1</v>
      </c>
      <c r="D54" s="2">
        <v>2</v>
      </c>
      <c r="E54" s="2">
        <v>1</v>
      </c>
      <c r="F54" s="2">
        <v>0</v>
      </c>
      <c r="G54" s="2">
        <v>1</v>
      </c>
      <c r="H54" s="2">
        <v>0</v>
      </c>
      <c r="I54" s="2">
        <v>1</v>
      </c>
      <c r="J54" s="2">
        <v>1</v>
      </c>
      <c r="K54" s="2">
        <v>1</v>
      </c>
      <c r="L54" s="2">
        <v>4</v>
      </c>
      <c r="M54" s="2">
        <v>1</v>
      </c>
      <c r="N54" s="2">
        <v>1</v>
      </c>
      <c r="O54" s="2">
        <v>4</v>
      </c>
      <c r="P54" s="2">
        <v>4</v>
      </c>
    </row>
    <row r="55" spans="1:17" ht="18.75" customHeight="1" x14ac:dyDescent="0.2">
      <c r="A55" s="5">
        <v>4</v>
      </c>
      <c r="B55" s="2">
        <v>3</v>
      </c>
      <c r="C55" s="2">
        <v>0</v>
      </c>
      <c r="D55" s="2">
        <v>0</v>
      </c>
      <c r="E55" s="2">
        <v>0</v>
      </c>
      <c r="F55" s="2">
        <v>1</v>
      </c>
      <c r="G55" s="2">
        <v>2</v>
      </c>
      <c r="H55" s="2">
        <v>0</v>
      </c>
      <c r="I55" s="2">
        <v>0</v>
      </c>
      <c r="J55" s="2">
        <v>0</v>
      </c>
      <c r="K55" s="2">
        <v>2</v>
      </c>
      <c r="L55" s="2">
        <v>4</v>
      </c>
      <c r="M55" s="2">
        <v>0</v>
      </c>
      <c r="N55" s="2">
        <v>2</v>
      </c>
      <c r="O55" s="2">
        <v>1</v>
      </c>
      <c r="P55" s="2">
        <v>1</v>
      </c>
    </row>
    <row r="56" spans="1:17" ht="18.75" customHeight="1" x14ac:dyDescent="0.2">
      <c r="A56" s="5">
        <v>5</v>
      </c>
      <c r="B56" s="2">
        <v>4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3</v>
      </c>
      <c r="I56" s="2">
        <v>1</v>
      </c>
      <c r="J56" s="2">
        <v>1</v>
      </c>
      <c r="K56" s="2">
        <v>2</v>
      </c>
      <c r="L56" s="2">
        <v>2</v>
      </c>
      <c r="M56" s="2">
        <v>3</v>
      </c>
      <c r="N56" s="2">
        <v>2</v>
      </c>
      <c r="O56" s="2">
        <v>3</v>
      </c>
      <c r="P56" s="2">
        <v>1</v>
      </c>
    </row>
    <row r="57" spans="1:17" ht="18.75" customHeight="1" x14ac:dyDescent="0.2">
      <c r="A57" s="5">
        <v>6</v>
      </c>
      <c r="B57" s="2">
        <v>2</v>
      </c>
      <c r="C57" s="2">
        <v>1</v>
      </c>
      <c r="D57" s="2">
        <v>0</v>
      </c>
      <c r="E57" s="2">
        <v>1</v>
      </c>
      <c r="F57" s="2">
        <v>1</v>
      </c>
      <c r="G57" s="2">
        <v>1</v>
      </c>
      <c r="H57" s="2">
        <v>1</v>
      </c>
      <c r="I57" s="2">
        <v>2</v>
      </c>
      <c r="J57" s="2">
        <v>2</v>
      </c>
      <c r="K57" s="2">
        <v>1</v>
      </c>
      <c r="L57" s="2">
        <v>1</v>
      </c>
      <c r="M57" s="2">
        <v>2</v>
      </c>
      <c r="N57" s="2">
        <v>1</v>
      </c>
      <c r="O57" s="2">
        <v>2</v>
      </c>
      <c r="P57" s="2">
        <v>1</v>
      </c>
    </row>
    <row r="58" spans="1:17" ht="18.75" customHeight="1" x14ac:dyDescent="0.2">
      <c r="A58" s="5">
        <v>7</v>
      </c>
      <c r="B58" s="2">
        <v>1</v>
      </c>
      <c r="C58" s="2">
        <v>2</v>
      </c>
      <c r="D58" s="2">
        <v>2</v>
      </c>
      <c r="E58" s="2">
        <v>0</v>
      </c>
      <c r="F58" s="2">
        <v>1</v>
      </c>
      <c r="G58" s="2">
        <v>3</v>
      </c>
      <c r="H58" s="2">
        <v>1</v>
      </c>
      <c r="I58" s="2">
        <v>1</v>
      </c>
      <c r="J58" s="2">
        <v>3</v>
      </c>
      <c r="K58" s="2">
        <v>2</v>
      </c>
      <c r="L58" s="2">
        <v>2</v>
      </c>
      <c r="M58" s="2">
        <v>0</v>
      </c>
      <c r="N58" s="2">
        <v>1</v>
      </c>
      <c r="O58" s="2">
        <v>0</v>
      </c>
      <c r="P58" s="2">
        <v>0</v>
      </c>
    </row>
    <row r="59" spans="1:17" ht="18.75" customHeight="1" x14ac:dyDescent="0.2">
      <c r="A59" s="5">
        <v>8</v>
      </c>
      <c r="B59" s="2">
        <v>3</v>
      </c>
      <c r="C59" s="2">
        <v>3</v>
      </c>
      <c r="D59" s="2">
        <v>2</v>
      </c>
      <c r="E59" s="2">
        <v>1</v>
      </c>
      <c r="F59" s="2">
        <v>0</v>
      </c>
      <c r="G59" s="2">
        <v>1</v>
      </c>
      <c r="H59" s="2">
        <v>0</v>
      </c>
      <c r="I59" s="2">
        <v>1</v>
      </c>
      <c r="J59" s="2">
        <v>1</v>
      </c>
      <c r="K59" s="2">
        <v>3</v>
      </c>
      <c r="L59" s="2">
        <v>0</v>
      </c>
      <c r="M59" s="2">
        <v>1</v>
      </c>
      <c r="N59" s="2">
        <v>1</v>
      </c>
      <c r="O59" s="2">
        <v>1</v>
      </c>
      <c r="P59" s="2">
        <v>0</v>
      </c>
    </row>
    <row r="60" spans="1:17" ht="18.75" customHeight="1" x14ac:dyDescent="0.2">
      <c r="A60" s="5">
        <v>9</v>
      </c>
      <c r="B60" s="2">
        <v>3</v>
      </c>
      <c r="C60" s="2">
        <v>1</v>
      </c>
      <c r="D60" s="2">
        <v>0</v>
      </c>
      <c r="E60" s="2">
        <v>1</v>
      </c>
      <c r="F60" s="2">
        <v>2</v>
      </c>
      <c r="G60" s="2">
        <v>1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1</v>
      </c>
      <c r="N60" s="2">
        <v>1</v>
      </c>
      <c r="O60" s="2">
        <v>2</v>
      </c>
      <c r="P60" s="2">
        <v>0</v>
      </c>
    </row>
    <row r="61" spans="1:17" ht="18.75" customHeight="1" x14ac:dyDescent="0.2">
      <c r="A61" s="2" t="s">
        <v>6</v>
      </c>
      <c r="B61" s="4">
        <f>AVERAGE(B52:B60)</f>
        <v>2.2222222222222223</v>
      </c>
      <c r="C61" s="4">
        <f t="shared" ref="C61:P61" si="7">AVERAGE(C52:C60)</f>
        <v>1.2222222222222223</v>
      </c>
      <c r="D61" s="4">
        <f t="shared" si="7"/>
        <v>1</v>
      </c>
      <c r="E61" s="4">
        <f t="shared" si="7"/>
        <v>0.88888888888888884</v>
      </c>
      <c r="F61" s="4">
        <f t="shared" si="7"/>
        <v>0.77777777777777779</v>
      </c>
      <c r="G61" s="4">
        <f t="shared" si="7"/>
        <v>1.5555555555555556</v>
      </c>
      <c r="H61" s="4">
        <f t="shared" si="7"/>
        <v>0.55555555555555558</v>
      </c>
      <c r="I61" s="4">
        <f t="shared" si="7"/>
        <v>0.88888888888888884</v>
      </c>
      <c r="J61" s="4">
        <f>AVERAGE(J52:J60)</f>
        <v>1.5555555555555556</v>
      </c>
      <c r="K61" s="4">
        <f t="shared" si="7"/>
        <v>1.5555555555555556</v>
      </c>
      <c r="L61" s="4">
        <f t="shared" si="7"/>
        <v>1.5555555555555556</v>
      </c>
      <c r="M61" s="4">
        <f t="shared" si="7"/>
        <v>1.2222222222222223</v>
      </c>
      <c r="N61" s="4">
        <f t="shared" si="7"/>
        <v>1.1111111111111112</v>
      </c>
      <c r="O61" s="4">
        <f t="shared" si="7"/>
        <v>1.7777777777777777</v>
      </c>
      <c r="P61" s="4">
        <f t="shared" si="7"/>
        <v>1.3333333333333333</v>
      </c>
      <c r="Q61" s="4"/>
    </row>
    <row r="62" spans="1:17" ht="18.75" customHeight="1" x14ac:dyDescent="0.2">
      <c r="A62" s="2" t="s">
        <v>5</v>
      </c>
      <c r="B62" s="4">
        <f>B61/4</f>
        <v>0.55555555555555558</v>
      </c>
      <c r="C62" s="4">
        <f t="shared" ref="C62:P62" si="8">C61/4</f>
        <v>0.30555555555555558</v>
      </c>
      <c r="D62" s="4">
        <f t="shared" si="8"/>
        <v>0.25</v>
      </c>
      <c r="E62" s="4">
        <f t="shared" si="8"/>
        <v>0.22222222222222221</v>
      </c>
      <c r="F62" s="4">
        <f t="shared" si="8"/>
        <v>0.19444444444444445</v>
      </c>
      <c r="G62" s="4">
        <f t="shared" si="8"/>
        <v>0.3888888888888889</v>
      </c>
      <c r="H62" s="4">
        <f t="shared" si="8"/>
        <v>0.1388888888888889</v>
      </c>
      <c r="I62" s="4">
        <f t="shared" si="8"/>
        <v>0.22222222222222221</v>
      </c>
      <c r="J62" s="4">
        <f>J61/4</f>
        <v>0.3888888888888889</v>
      </c>
      <c r="K62" s="4">
        <f t="shared" si="8"/>
        <v>0.3888888888888889</v>
      </c>
      <c r="L62" s="4">
        <f t="shared" si="8"/>
        <v>0.3888888888888889</v>
      </c>
      <c r="M62" s="4">
        <f t="shared" si="8"/>
        <v>0.30555555555555558</v>
      </c>
      <c r="N62" s="4">
        <f t="shared" si="8"/>
        <v>0.27777777777777779</v>
      </c>
      <c r="O62" s="4">
        <f t="shared" si="8"/>
        <v>0.44444444444444442</v>
      </c>
      <c r="P62" s="4">
        <f t="shared" si="8"/>
        <v>0.33333333333333331</v>
      </c>
    </row>
    <row r="63" spans="1:17" ht="18.75" customHeight="1" x14ac:dyDescent="0.2">
      <c r="A63" s="2" t="s">
        <v>3</v>
      </c>
      <c r="B63" s="4">
        <f>STDEV(B52:B60)</f>
        <v>1.0929064207170003</v>
      </c>
      <c r="C63" s="4">
        <f t="shared" ref="C63:P63" si="9">STDEV(C52:C60)</f>
        <v>0.83333333333333337</v>
      </c>
      <c r="D63" s="4">
        <f t="shared" si="9"/>
        <v>0.8660254037844386</v>
      </c>
      <c r="E63" s="4">
        <f t="shared" si="9"/>
        <v>0.60092521257733156</v>
      </c>
      <c r="F63" s="4">
        <f t="shared" si="9"/>
        <v>0.66666666666666663</v>
      </c>
      <c r="G63" s="4">
        <f t="shared" si="9"/>
        <v>0.72648315725677881</v>
      </c>
      <c r="H63" s="4">
        <f t="shared" si="9"/>
        <v>1.0137937550497031</v>
      </c>
      <c r="I63" s="4">
        <f t="shared" si="9"/>
        <v>0.60092521257733156</v>
      </c>
      <c r="J63" s="4">
        <f>STDEV(J52:J60)</f>
        <v>1.2360330811826103</v>
      </c>
      <c r="K63" s="4">
        <f t="shared" si="9"/>
        <v>1.1303883305208779</v>
      </c>
      <c r="L63" s="4">
        <f t="shared" si="9"/>
        <v>1.5898986690282426</v>
      </c>
      <c r="M63" s="4">
        <f t="shared" si="9"/>
        <v>0.97182531580755005</v>
      </c>
      <c r="N63" s="4">
        <f t="shared" si="9"/>
        <v>0.60092521257733156</v>
      </c>
      <c r="O63" s="4">
        <f t="shared" si="9"/>
        <v>1.2018504251546631</v>
      </c>
      <c r="P63" s="4">
        <f t="shared" si="9"/>
        <v>1.4142135623730951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"/>
  <sheetViews>
    <sheetView tabSelected="1" topLeftCell="L7" zoomScale="115" zoomScaleNormal="115" workbookViewId="0">
      <selection activeCell="V6" sqref="V6"/>
    </sheetView>
  </sheetViews>
  <sheetFormatPr defaultColWidth="9" defaultRowHeight="18.75" customHeight="1" x14ac:dyDescent="0.2"/>
  <cols>
    <col min="1" max="1" width="13" bestFit="1" customWidth="1"/>
    <col min="18" max="18" width="12.90625" bestFit="1" customWidth="1"/>
  </cols>
  <sheetData>
    <row r="2" spans="1:21" ht="18.75" customHeight="1" x14ac:dyDescent="0.2">
      <c r="B2" s="7" t="s">
        <v>17</v>
      </c>
      <c r="R2" s="2"/>
      <c r="S2" s="2"/>
      <c r="T2" s="2"/>
      <c r="U2" s="2"/>
    </row>
    <row r="3" spans="1:21" ht="18.75" customHeight="1" x14ac:dyDescent="0.2">
      <c r="A3" s="8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S3" s="2" t="s">
        <v>12</v>
      </c>
      <c r="T3" s="2" t="s">
        <v>13</v>
      </c>
      <c r="U3" s="2" t="s">
        <v>16</v>
      </c>
    </row>
    <row r="4" spans="1:21" ht="18.75" customHeight="1" x14ac:dyDescent="0.2">
      <c r="A4" s="8" t="s">
        <v>10</v>
      </c>
      <c r="B4" s="9">
        <v>0.65</v>
      </c>
      <c r="C4" s="9">
        <v>0.45</v>
      </c>
      <c r="D4" s="9">
        <v>0.35</v>
      </c>
      <c r="E4" s="9">
        <v>0.27500000000000002</v>
      </c>
      <c r="F4" s="9">
        <v>0.45</v>
      </c>
      <c r="G4" s="9">
        <v>0.17499999999999999</v>
      </c>
      <c r="H4" s="9">
        <v>0.22500000000000001</v>
      </c>
      <c r="I4" s="9">
        <v>0.17499999999999999</v>
      </c>
      <c r="J4" s="9">
        <v>0.4</v>
      </c>
      <c r="K4" s="9">
        <v>0.2</v>
      </c>
      <c r="L4" s="9">
        <v>0.35</v>
      </c>
      <c r="M4" s="9">
        <v>0.3</v>
      </c>
      <c r="N4" s="9">
        <v>0.32500000000000001</v>
      </c>
      <c r="O4" s="9">
        <v>0.375</v>
      </c>
      <c r="P4" s="9">
        <v>0.5</v>
      </c>
      <c r="R4" t="s">
        <v>0</v>
      </c>
      <c r="S4" s="10">
        <v>5</v>
      </c>
      <c r="T4" s="10">
        <v>5</v>
      </c>
      <c r="U4" s="10">
        <v>0</v>
      </c>
    </row>
    <row r="5" spans="1:21" ht="18.75" customHeight="1" x14ac:dyDescent="0.2">
      <c r="A5" s="8" t="s">
        <v>11</v>
      </c>
      <c r="B5" s="11">
        <v>0.55555555555555558</v>
      </c>
      <c r="C5" s="11">
        <v>0.30555555555555558</v>
      </c>
      <c r="D5" s="11">
        <v>0.25</v>
      </c>
      <c r="E5" s="11">
        <v>0.22222222222222221</v>
      </c>
      <c r="F5" s="11">
        <v>0.19444444444444445</v>
      </c>
      <c r="G5" s="11">
        <v>0.3888888888888889</v>
      </c>
      <c r="H5" s="11">
        <v>0.1388888888888889</v>
      </c>
      <c r="I5" s="11">
        <v>0.22222222222222221</v>
      </c>
      <c r="J5" s="11">
        <v>0.3888888888888889</v>
      </c>
      <c r="K5" s="11">
        <v>0.3888888888888889</v>
      </c>
      <c r="L5" s="11">
        <v>0.3888888888888889</v>
      </c>
      <c r="M5" s="11">
        <v>0.30555555555555558</v>
      </c>
      <c r="N5" s="11">
        <v>0.27777777777777779</v>
      </c>
      <c r="O5" s="11">
        <v>0.44444444444444442</v>
      </c>
      <c r="P5" s="11">
        <v>0.33333333333333331</v>
      </c>
      <c r="R5" t="s">
        <v>14</v>
      </c>
      <c r="S5" s="10">
        <v>3</v>
      </c>
      <c r="T5" s="10">
        <v>6</v>
      </c>
      <c r="U5" s="10">
        <v>0</v>
      </c>
    </row>
    <row r="6" spans="1:21" ht="18.75" customHeight="1" x14ac:dyDescent="0.2">
      <c r="S6" s="2"/>
      <c r="T6" s="2"/>
      <c r="U6" s="2"/>
    </row>
    <row r="7" spans="1:21" ht="18.75" customHeight="1" x14ac:dyDescent="0.2">
      <c r="B7" s="7" t="s">
        <v>18</v>
      </c>
      <c r="S7" s="2"/>
      <c r="T7" s="2"/>
      <c r="U7" s="2"/>
    </row>
    <row r="8" spans="1:21" ht="18.75" customHeight="1" x14ac:dyDescent="0.2">
      <c r="A8" s="8"/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  <c r="L8" s="8">
        <v>11</v>
      </c>
      <c r="M8" s="8">
        <v>12</v>
      </c>
      <c r="N8" s="8">
        <v>13</v>
      </c>
      <c r="O8" s="8">
        <v>14</v>
      </c>
      <c r="P8" s="8">
        <v>15</v>
      </c>
      <c r="S8" s="2" t="s">
        <v>15</v>
      </c>
      <c r="T8" s="2" t="s">
        <v>3</v>
      </c>
      <c r="U8" s="2"/>
    </row>
    <row r="9" spans="1:21" ht="18.75" customHeight="1" x14ac:dyDescent="0.2">
      <c r="A9" s="8" t="s">
        <v>10</v>
      </c>
      <c r="B9" s="9">
        <v>2.4</v>
      </c>
      <c r="C9" s="9">
        <v>2.4375</v>
      </c>
      <c r="D9" s="9">
        <v>3.8571428571428572</v>
      </c>
      <c r="E9" s="9">
        <v>5</v>
      </c>
      <c r="F9" s="9">
        <v>4.375</v>
      </c>
      <c r="G9" s="9">
        <v>4.375</v>
      </c>
      <c r="H9" s="9">
        <v>4.3</v>
      </c>
      <c r="I9" s="9">
        <v>3.3</v>
      </c>
      <c r="J9" s="9">
        <v>3.9444444444444446</v>
      </c>
      <c r="K9" s="9">
        <v>4.8571428571428568</v>
      </c>
      <c r="L9" s="9">
        <v>3.8888888888888888</v>
      </c>
      <c r="M9" s="9">
        <v>3.6666666666666665</v>
      </c>
      <c r="N9" s="9">
        <v>4.1428571428571432</v>
      </c>
      <c r="O9" s="9">
        <v>2.2222222222222223</v>
      </c>
      <c r="P9" s="9">
        <v>3.3888888888888888</v>
      </c>
      <c r="R9" t="s">
        <v>0</v>
      </c>
      <c r="S9" s="12">
        <v>48.6</v>
      </c>
      <c r="T9" s="12">
        <v>13.590846592876813</v>
      </c>
      <c r="U9" s="2"/>
    </row>
    <row r="10" spans="1:21" ht="18.75" customHeight="1" x14ac:dyDescent="0.2">
      <c r="A10" s="8" t="s">
        <v>11</v>
      </c>
      <c r="B10" s="11">
        <v>2</v>
      </c>
      <c r="C10" s="11">
        <v>2.9375</v>
      </c>
      <c r="D10" s="11">
        <v>2.1666666666666665</v>
      </c>
      <c r="E10" s="11">
        <v>3.4285714285714284</v>
      </c>
      <c r="F10" s="11">
        <v>4.166666666666667</v>
      </c>
      <c r="G10" s="11">
        <v>3.6111111111111112</v>
      </c>
      <c r="H10" s="11">
        <v>2.6666666666666665</v>
      </c>
      <c r="I10" s="11">
        <v>2.7142857142857144</v>
      </c>
      <c r="J10" s="11">
        <v>3.9285714285714284</v>
      </c>
      <c r="K10" s="11">
        <v>3.2142857142857144</v>
      </c>
      <c r="L10" s="11">
        <v>4.75</v>
      </c>
      <c r="M10" s="11">
        <v>3.4285714285714284</v>
      </c>
      <c r="N10" s="11">
        <v>4.125</v>
      </c>
      <c r="O10" s="11">
        <v>3.75</v>
      </c>
      <c r="P10" s="11">
        <v>2.75</v>
      </c>
      <c r="R10" t="s">
        <v>14</v>
      </c>
      <c r="S10" s="12">
        <v>50.555555555555557</v>
      </c>
      <c r="T10" s="12">
        <v>9.0431066441670271</v>
      </c>
      <c r="U10" s="2"/>
    </row>
    <row r="11" spans="1:21" ht="18.75" customHeight="1" x14ac:dyDescent="0.2">
      <c r="R11" t="s">
        <v>19</v>
      </c>
      <c r="S11" s="12">
        <v>49.526315789473685</v>
      </c>
      <c r="T11" s="12">
        <v>11.388924547084379</v>
      </c>
      <c r="U11" s="2"/>
    </row>
    <row r="13" spans="1:21" ht="18.75" customHeight="1" x14ac:dyDescent="0.2">
      <c r="B13" s="13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計算過程</vt:lpstr>
      <vt:lpstr>表1、2</vt:lpstr>
    </vt:vector>
  </TitlesOfParts>
  <Company>放送大学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千葉学習センター２</dc:creator>
  <cp:lastModifiedBy>Kazuhoro Matsuyama</cp:lastModifiedBy>
  <cp:lastPrinted>2014-06-15T04:29:42Z</cp:lastPrinted>
  <dcterms:created xsi:type="dcterms:W3CDTF">2012-06-27T02:55:11Z</dcterms:created>
  <dcterms:modified xsi:type="dcterms:W3CDTF">2026-06-27T09:52:33Z</dcterms:modified>
</cp:coreProperties>
</file>